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shboard" sheetId="1" state="visible" r:id="rId3"/>
    <sheet name="Marketing Dashboard" sheetId="2" state="visible" r:id="rId4"/>
    <sheet name="Operations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<sst xmlns="http://schemas.openxmlformats.org/spreadsheetml/2006/main" count="72" uniqueCount="58">
  <si>
    <t xml:space="preserve">SALES PERFORMANCE DASHBOARD</t>
  </si>
  <si>
    <t xml:space="preserve">FY2026 · Monthly Revenue, Units, and Targets</t>
  </si>
  <si>
    <t xml:space="preserve">TOTAL REVENUE (YTD)</t>
  </si>
  <si>
    <t xml:space="preserve">TOTAL UNITS SOLD</t>
  </si>
  <si>
    <t xml:space="preserve">AVG DEAL SIZE</t>
  </si>
  <si>
    <t xml:space="preserve">REVENUE GROWTH (JAN→DEC)</t>
  </si>
  <si>
    <t xml:space="preserve">BEST MONTH</t>
  </si>
  <si>
    <t xml:space="preserve">% MONTHS ABOVE TARGET</t>
  </si>
  <si>
    <t xml:space="preserve">Month</t>
  </si>
  <si>
    <t xml:space="preserve">Revenue ($)</t>
  </si>
  <si>
    <t xml:space="preserve">Units Sold</t>
  </si>
  <si>
    <t xml:space="preserve">Target ($)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</si>
  <si>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</si>
  <si>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</si>
  <si>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</si>
  <si>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</si>
  <si>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</si>
  <si>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</si>
  <si>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</si>
  <si>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</si>
  <si>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</si>
  <si>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</si>
  <si>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</si>
  <si>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</si>
  <si>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Source: Sample data for demo purposes. Replace rows 21-32 with actuals.</t>
  </si>
  <si>
    <t xml:space="preserve">MARKETING &amp; GROWTH DASHBOARD</t>
  </si>
  <si>
    <t xml:space="preserve">FY2026 · Channel Spend, Leads, and Conversion</t>
  </si>
  <si>
    <t xml:space="preserve">TOTAL MARKETING SPEND</t>
  </si>
  <si>
    <t xml:space="preserve">TOTAL LEADS</t>
  </si>
  <si>
    <t xml:space="preserve">TOTAL NEW CUSTOMERS</t>
  </si>
  <si>
    <t xml:space="preserve">BLENDED CAC</t>
  </si>
  <si>
    <t xml:space="preserve">AVG CONVERSION RATE</t>
  </si>
  <si>
    <t xml:space="preserve">TOP CHANNEL (BY LEADS)</t>
  </si>
  <si>
    <t xml:space="preserve">Channel</t>
  </si>
  <si>
    <t xml:space="preserve">Spend ($)</t>
  </si>
  <si>
    <t xml:space="preserve">Leads</t>
  </si>
  <si>
    <t xml:space="preserve">Customers</t>
  </si>
  <si>
    <t xml:space="preserve">Conv. Rate</t>
  </si>
  <si>
    <t xml:space="preserve">CAC ($)</t>
  </si>
  <si>
    <t xml:space="preserve">Paid Search</t>
  </si>
  <si>
    <t xml:space="preserve">Paid Social</t>
  </si>
  <si>
    <t xml:space="preserve">Email</t>
  </si>
  <si>
    <t xml:space="preserve">Organic/SEO</t>
  </si>
  <si>
    <t xml:space="preserve">Referral</t>
  </si>
  <si>
    <t xml:space="preserve">Events</t>
  </si>
  <si>
    <t xml:space="preserve">Source: Sample data for demo purposes. Replace rows 21-26 with actuals.</t>
  </si>
  <si>
    <t xml:space="preserve">OPERATIONS &amp; SUPPORT DASHBOARD</t>
  </si>
  <si>
    <t xml:space="preserve">FY2026 · Ticket Volume, Resolution Time, SLA Compliance</t>
  </si>
  <si>
    <t xml:space="preserve">TOTAL TICKETS (YTD)</t>
  </si>
  <si>
    <t xml:space="preserve">AVG SLA COMPLIANCE</t>
  </si>
  <si>
    <t xml:space="preserve">AVG RESOLUTION TIME</t>
  </si>
  <si>
    <t xml:space="preserve">BUSIEST MONTH</t>
  </si>
  <si>
    <t xml:space="preserve">BEST SLA MONTH</t>
  </si>
  <si>
    <t xml:space="preserve">SLA TARGET GAP (vs 95%)</t>
  </si>
  <si>
    <t xml:space="preserve">Tickets</t>
  </si>
  <si>
    <t xml:space="preserve">Resolved w/in SLA</t>
  </si>
  <si>
    <t xml:space="preserve">Avg Resolution (hrs)</t>
  </si>
  <si>
    <t xml:space="preserve">SLA 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</si>
</sst>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#,##0"/>
    <numFmt numFmtId="167" formatCode="0.0%"/>
    <numFmt numFmtId="168" formatCode="@"/>
    <numFmt numFmtId="169" formatCode="0.0&quot; hrs&quot;"/>
    <numFmt numFmtId="170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8"/>
      <color rgb="FF2563EB"/>
      <name val="Arial"/>
      <family val="0"/>
      <charset val="1"/>
    </font>
    <font>
      <b val="true"/>
      <sz val="18"/>
      <color rgb="FF16A34A"/>
      <name val="Arial"/>
      <family val="0"/>
      <charset val="1"/>
    </font>
    <font>
      <b val="true"/>
      <sz val="18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DC2626"/>
      <name val="Arial"/>
      <family val="0"/>
      <charset val="1"/>
    </font>
    <font>
      <b val="true"/>
      <sz val="18"/>
      <color rgb="FF7C3AE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9F9F9"/>
      </patternFill>
    </fill>
    <fill>
      <patternFill patternType="solid">
        <fgColor rgb="FF16A34A"/>
        <bgColor rgb="FF008080"/>
      </patternFill>
    </fill>
    <fill>
      <patternFill patternType="solid">
        <fgColor rgb="FF7C3AED"/>
        <bgColor rgb="FF8064A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C0504D"/>
      <rgbColor rgb="FFF9F9F9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3C5FD"/>
      <rgbColor rgb="FFFF99CC"/>
      <rgbColor rgb="FFCC99FF"/>
      <rgbColor rgb="FFFFCC99"/>
      <rgbColor rgb="FF2563EB"/>
      <rgbColor rgb="FF4BACC6"/>
      <rgbColor rgb="FF9BBB59"/>
      <rgbColor rgb="FFFFCC00"/>
      <rgbColor rgb="FFF79646"/>
      <rgbColor rgb="FFFF6600"/>
      <rgbColor rgb="FF6B7280"/>
      <rgbColor rgb="FF8064A2"/>
      <rgbColor rgb="FF003366"/>
      <rgbColor rgb="FF16A34A"/>
      <rgbColor rgb="FF003300"/>
      <rgbColor rgb="FF333300"/>
      <rgbColor rgb="FF993300"/>
      <rgbColor rgb="FF7C3AED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Dashboard'!B20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Dashboard'!$B$21:$B$32</c:f>
              <c:numCache>
                <c:formatCode>\$#,##0</c:formatCode>
                <c:ptCount val="12"/>
                <c:pt idx="0">
                  <c:v>82000</c:v>
                </c:pt>
                <c:pt idx="1">
                  <c:v>79000</c:v>
                </c:pt>
                <c:pt idx="2">
                  <c:v>91000</c:v>
                </c:pt>
                <c:pt idx="3">
                  <c:v>88000</c:v>
                </c:pt>
                <c:pt idx="4">
                  <c:v>95000</c:v>
                </c:pt>
                <c:pt idx="5">
                  <c:v>102000</c:v>
                </c:pt>
                <c:pt idx="6">
                  <c:v>99000</c:v>
                </c:pt>
                <c:pt idx="7">
                  <c:v>108000</c:v>
                </c:pt>
                <c:pt idx="8">
                  <c:v>115000</c:v>
                </c:pt>
                <c:pt idx="9">
                  <c:v>110000</c:v>
                </c:pt>
                <c:pt idx="10">
                  <c:v>121000</c:v>
                </c:pt>
                <c:pt idx="11">
                  <c:v>130000</c:v>
                </c:pt>
              </c:numCache>
            </c:numRef>
          </c:val>
        </c:ser>
        <c:ser>
          <c:idx val="1"/>
          <c:order val="1"/>
          <c:tx>
            <c:strRef>
              <c:f>'Sales Dashboard'!D20</c:f>
              <c:strCache>
                <c:ptCount val="1"/>
                <c:pt idx="0">
                  <c:v>Target ($)</c:v>
                </c:pt>
              </c:strCache>
            </c:strRef>
          </c:tx>
          <c:spPr>
            <a:solidFill>
              <a:srgbClr val="d1d5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Dashboard'!$D$21:$D$32</c:f>
              <c:numCache>
                <c:formatCode>\$#,##0</c:formatCode>
                <c:ptCount val="12"/>
                <c:pt idx="0">
                  <c:v>80000</c:v>
                </c:pt>
                <c:pt idx="1">
                  <c:v>80000</c:v>
                </c:pt>
                <c:pt idx="2">
                  <c:v>80000</c:v>
                </c:pt>
                <c:pt idx="3">
                  <c:v>80000</c:v>
                </c:pt>
                <c:pt idx="4">
                  <c:v>80000</c:v>
                </c:pt>
                <c:pt idx="5">
                  <c:v>80000</c:v>
                </c:pt>
                <c:pt idx="6">
                  <c:v>80000</c:v>
                </c:pt>
                <c:pt idx="7">
                  <c:v>80000</c:v>
                </c:pt>
                <c:pt idx="8">
                  <c:v>80000</c:v>
                </c:pt>
                <c:pt idx="9">
                  <c:v>80000</c:v>
                </c:pt>
                <c:pt idx="10">
                  <c:v>80000</c:v>
                </c:pt>
                <c:pt idx="11">
                  <c:v>80000</c:v>
                </c:pt>
              </c:numCache>
            </c:numRef>
          </c:val>
        </c:ser>
        <c:gapWidth val="150"/>
        <c:overlap val="0"/>
        <c:axId val="68256393"/>
        <c:axId val="6461973"/>
      </c:barChart>
      <c:catAx>
        <c:axId val="682563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1973"/>
        <c:crosses val="autoZero"/>
        <c:auto val="1"/>
        <c:lblAlgn val="ctr"/>
        <c:lblOffset val="100"/>
        <c:noMultiLvlLbl val="0"/>
      </c:catAx>
      <c:valAx>
        <c:axId val="6461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563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 Sold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Dashboard'!C20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6a34a"/>
            </a:solidFill>
            <a:ln w="24840">
              <a:solidFill>
                <a:srgbClr val="16a3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Dashboard'!$C$21:$C$32</c:f>
              <c:numCache>
                <c:formatCode>#,##0</c:formatCode>
                <c:ptCount val="12"/>
                <c:pt idx="0">
                  <c:v>410</c:v>
                </c:pt>
                <c:pt idx="1">
                  <c:v>395</c:v>
                </c:pt>
                <c:pt idx="2">
                  <c:v>455</c:v>
                </c:pt>
                <c:pt idx="3">
                  <c:v>440</c:v>
                </c:pt>
                <c:pt idx="4">
                  <c:v>475</c:v>
                </c:pt>
                <c:pt idx="5">
                  <c:v>510</c:v>
                </c:pt>
                <c:pt idx="6">
                  <c:v>495</c:v>
                </c:pt>
                <c:pt idx="7">
                  <c:v>540</c:v>
                </c:pt>
                <c:pt idx="8">
                  <c:v>575</c:v>
                </c:pt>
                <c:pt idx="9">
                  <c:v>550</c:v>
                </c:pt>
                <c:pt idx="10">
                  <c:v>605</c:v>
                </c:pt>
                <c:pt idx="11">
                  <c:v>650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390498"/>
        <c:axId val="1641956"/>
      </c:lineChart>
      <c:catAx>
        <c:axId val="79390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1956"/>
        <c:crosses val="autoZero"/>
        <c:auto val="1"/>
        <c:lblAlgn val="ctr"/>
        <c:lblOffset val="100"/>
        <c:noMultiLvlLbl val="0"/>
      </c:catAx>
      <c:valAx>
        <c:axId val="1641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90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'Marketing Dashboard'!B20</c:f>
              <c:strCache>
                <c:ptCount val="1"/>
                <c:pt idx="0">
                  <c:v>Spend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'Marketing Dashboard'!$A$21:$A$26</c:f>
              <c:strCache>
                <c:ptCount val="6"/>
                <c:pt idx="0">
                  <c:v>Paid Search</c:v>
                </c:pt>
                <c:pt idx="1">
                  <c:v>Paid Social</c:v>
                </c:pt>
                <c:pt idx="2">
                  <c:v>Email</c:v>
                </c:pt>
                <c:pt idx="3">
                  <c:v>Organic/SEO</c:v>
                </c:pt>
                <c:pt idx="4">
                  <c:v>Referral</c:v>
                </c:pt>
                <c:pt idx="5">
                  <c:v>Events</c:v>
                </c:pt>
              </c:strCache>
            </c:strRef>
          </c:cat>
          <c:val>
            <c:numRef>
              <c:f>'Marketing Dashboard'!$B$21:$B$26</c:f>
              <c:numCache>
                <c:formatCode>\$#,##0</c:formatCode>
                <c:ptCount val="6"/>
                <c:pt idx="0">
                  <c:v>18000</c:v>
                </c:pt>
                <c:pt idx="1">
                  <c:v>15000</c:v>
                </c:pt>
                <c:pt idx="2">
                  <c:v>4000</c:v>
                </c:pt>
                <c:pt idx="3">
                  <c:v>3000</c:v>
                </c:pt>
                <c:pt idx="4">
                  <c:v>2000</c:v>
                </c:pt>
                <c:pt idx="5">
                  <c:v>9000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vs Customers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'Marketing Dashboard'!C20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93c5f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'Marketing Dashboard'!$A$21:$A$26</c:f>
              <c:strCache>
                <c:ptCount val="6"/>
                <c:pt idx="0">
                  <c:v>Paid Search</c:v>
                </c:pt>
                <c:pt idx="1">
                  <c:v>Paid Social</c:v>
                </c:pt>
                <c:pt idx="2">
                  <c:v>Email</c:v>
                </c:pt>
                <c:pt idx="3">
                  <c:v>Organic/SEO</c:v>
                </c:pt>
                <c:pt idx="4">
                  <c:v>Referral</c:v>
                </c:pt>
                <c:pt idx="5">
                  <c:v>Events</c:v>
                </c:pt>
              </c:strCache>
            </c:strRef>
          </c:cat>
          <c:val>
            <c:numRef>
              <c:f>'Marketing Dashboard'!$C$21:$C$26</c:f>
              <c:numCache>
                <c:formatCode>#,##0</c:formatCode>
                <c:ptCount val="6"/>
                <c:pt idx="0">
                  <c:v>420</c:v>
                </c:pt>
                <c:pt idx="1">
                  <c:v>510</c:v>
                </c:pt>
                <c:pt idx="2">
                  <c:v>260</c:v>
                </c:pt>
                <c:pt idx="3">
                  <c:v>340</c:v>
                </c:pt>
                <c:pt idx="4">
                  <c:v>150</c:v>
                </c:pt>
                <c:pt idx="5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'Marketing Dashboard'!D20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'Marketing Dashboard'!$A$21:$A$26</c:f>
              <c:strCache>
                <c:ptCount val="6"/>
                <c:pt idx="0">
                  <c:v>Paid Search</c:v>
                </c:pt>
                <c:pt idx="1">
                  <c:v>Paid Social</c:v>
                </c:pt>
                <c:pt idx="2">
                  <c:v>Email</c:v>
                </c:pt>
                <c:pt idx="3">
                  <c:v>Organic/SEO</c:v>
                </c:pt>
                <c:pt idx="4">
                  <c:v>Referral</c:v>
                </c:pt>
                <c:pt idx="5">
                  <c:v>Events</c:v>
                </c:pt>
              </c:strCache>
            </c:strRef>
          </c:cat>
          <c:val>
            <c:numRef>
              <c:f>'Marketing Dashboard'!$D$21:$D$26</c:f>
              <c:numCache>
                <c:formatCode>#,##0</c:formatCode>
                <c:ptCount val="6"/>
                <c:pt idx="0">
                  <c:v>42</c:v>
                </c:pt>
                <c:pt idx="1">
                  <c:v>55</c:v>
                </c:pt>
                <c:pt idx="2">
                  <c:v>39</c:v>
                </c:pt>
                <c:pt idx="3">
                  <c:v>61</c:v>
                </c:pt>
                <c:pt idx="4">
                  <c:v>28</c:v>
                </c:pt>
                <c:pt idx="5">
                  <c:v>22</c:v>
                </c:pt>
              </c:numCache>
            </c:numRef>
          </c:val>
        </c:ser>
        <c:gapWidth val="150"/>
        <c:overlap val="0"/>
        <c:axId val="76467419"/>
        <c:axId val="8717829"/>
      </c:barChart>
      <c:catAx>
        <c:axId val="764674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7829"/>
        <c:crosses val="autoZero"/>
        <c:auto val="1"/>
        <c:lblAlgn val="ctr"/>
        <c:lblOffset val="100"/>
        <c:noMultiLvlLbl val="0"/>
      </c:catAx>
      <c:valAx>
        <c:axId val="8717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674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Volume &amp; Resolution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'Operations Dashboard'!B20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7c3aed"/>
            </a:solidFill>
            <a:ln w="24840">
              <a:solidFill>
                <a:srgbClr val="7c3ae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'Operations Dashboard'!$B$21:$B$32</c:f>
              <c:numCache>
                <c:formatCode>#,##0</c:formatCode>
                <c:ptCount val="12"/>
                <c:pt idx="0">
                  <c:v>320</c:v>
                </c:pt>
                <c:pt idx="1">
                  <c:v>298</c:v>
                </c:pt>
                <c:pt idx="2">
                  <c:v>345</c:v>
                </c:pt>
                <c:pt idx="3">
                  <c:v>310</c:v>
                </c:pt>
                <c:pt idx="4">
                  <c:v>360</c:v>
                </c:pt>
                <c:pt idx="5">
                  <c:v>402</c:v>
                </c:pt>
                <c:pt idx="6">
                  <c:v>385</c:v>
                </c:pt>
                <c:pt idx="7">
                  <c:v>410</c:v>
                </c:pt>
                <c:pt idx="8">
                  <c:v>430</c:v>
                </c:pt>
                <c:pt idx="9">
                  <c:v>405</c:v>
                </c:pt>
                <c:pt idx="10">
                  <c:v>440</c:v>
                </c:pt>
                <c:pt idx="11">
                  <c:v>470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549833"/>
        <c:axId val="10772591"/>
      </c:lineChart>
      <c:catAx>
        <c:axId val="85549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72591"/>
        <c:crosses val="autoZero"/>
        <c:auto val="1"/>
        <c:lblAlgn val="ctr"/>
        <c:lblOffset val="100"/>
        <c:noMultiLvlLbl val="0"/>
      </c:catAx>
      <c:valAx>
        <c:axId val="10772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498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SLA Compliance %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'Operations Dashboard'!E20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rgbClr val="16a34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'Operations Dashboard'!$E$21:$E$32</c:f>
              <c:numCache>
                <c:formatCode>0.0%</c:formatCode>
                <c:ptCount val="12"/>
                <c:pt idx="0">
                  <c:v>0.9125</c:v>
                </c:pt>
                <c:pt idx="1">
                  <c:v>0.906040268456376</c:v>
                </c:pt>
                <c:pt idx="2">
                  <c:v>0.91304347826087</c:v>
                </c:pt>
                <c:pt idx="3">
                  <c:v>0.92258064516129</c:v>
                </c:pt>
                <c:pt idx="4">
                  <c:v>0.905555555555556</c:v>
                </c:pt>
                <c:pt idx="5">
                  <c:v>0.895522388059702</c:v>
                </c:pt>
                <c:pt idx="6">
                  <c:v>0.883116883116883</c:v>
                </c:pt>
                <c:pt idx="7">
                  <c:v>0.882926829268293</c:v>
                </c:pt>
                <c:pt idx="8">
                  <c:v>0.879069767441861</c:v>
                </c:pt>
                <c:pt idx="9">
                  <c:v>0.881481481481482</c:v>
                </c:pt>
                <c:pt idx="10">
                  <c:v>0.881818181818182</c:v>
                </c:pt>
                <c:pt idx="11">
                  <c:v>0.872340425531915</c:v>
                </c:pt>
              </c:numCache>
            </c:numRef>
          </c:val>
        </c:ser>
        <c:gapWidth val="150"/>
        <c:overlap val="0"/>
        <c:axId val="16766772"/>
        <c:axId val="37591523"/>
      </c:barChart>
      <c:catAx>
        <c:axId val="167667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91523"/>
        <c:crosses val="autoZero"/>
        <c:auto val="1"/>
        <c:lblAlgn val="ctr"/>
        <c:lblOffset val="100"/>
        <c:noMultiLvlLbl val="0"/>
      </c:catAx>
      <c:valAx>
        <c:axId val="37591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SLA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667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11520</xdr:rowOff>
    </xdr:from>
    <xdr:to>
      <xdr:col>6</xdr:col>
      <xdr:colOff>57960</xdr:colOff>
      <xdr:row>25</xdr:row>
      <xdr:rowOff>33480</xdr:rowOff>
    </xdr:to>
    <xdr:graphicFrame>
      <xdr:nvGraphicFramePr>
        <xdr:cNvPr id="0" name="Chart 1"/>
        <xdr:cNvGraphicFramePr/>
      </xdr:nvGraphicFramePr>
      <xdr:xfrm>
        <a:off x="0" y="20955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11520</xdr:rowOff>
    </xdr:from>
    <xdr:to>
      <xdr:col>12</xdr:col>
      <xdr:colOff>315000</xdr:colOff>
      <xdr:row>25</xdr:row>
      <xdr:rowOff>33480</xdr:rowOff>
    </xdr:to>
    <xdr:graphicFrame>
      <xdr:nvGraphicFramePr>
        <xdr:cNvPr id="1" name="Chart 2"/>
        <xdr:cNvGraphicFramePr/>
      </xdr:nvGraphicFramePr>
      <xdr:xfrm>
        <a:off x="5074920" y="20955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11520</xdr:rowOff>
    </xdr:from>
    <xdr:to>
      <xdr:col>3</xdr:col>
      <xdr:colOff>498240</xdr:colOff>
      <xdr:row>25</xdr:row>
      <xdr:rowOff>33480</xdr:rowOff>
    </xdr:to>
    <xdr:graphicFrame>
      <xdr:nvGraphicFramePr>
        <xdr:cNvPr id="2" name="Chart 1"/>
        <xdr:cNvGraphicFramePr/>
      </xdr:nvGraphicFramePr>
      <xdr:xfrm>
        <a:off x="0" y="20955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11520</xdr:rowOff>
    </xdr:from>
    <xdr:to>
      <xdr:col>12</xdr:col>
      <xdr:colOff>315000</xdr:colOff>
      <xdr:row>25</xdr:row>
      <xdr:rowOff>33480</xdr:rowOff>
    </xdr:to>
    <xdr:graphicFrame>
      <xdr:nvGraphicFramePr>
        <xdr:cNvPr id="3" name="Chart 2"/>
        <xdr:cNvGraphicFramePr/>
      </xdr:nvGraphicFramePr>
      <xdr:xfrm>
        <a:off x="5074920" y="20955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11520</xdr:rowOff>
    </xdr:from>
    <xdr:to>
      <xdr:col>6</xdr:col>
      <xdr:colOff>57960</xdr:colOff>
      <xdr:row>25</xdr:row>
      <xdr:rowOff>33480</xdr:rowOff>
    </xdr:to>
    <xdr:graphicFrame>
      <xdr:nvGraphicFramePr>
        <xdr:cNvPr id="4" name="Chart 1"/>
        <xdr:cNvGraphicFramePr/>
      </xdr:nvGraphicFramePr>
      <xdr:xfrm>
        <a:off x="0" y="20955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11520</xdr:rowOff>
    </xdr:from>
    <xdr:to>
      <xdr:col>12</xdr:col>
      <xdr:colOff>315000</xdr:colOff>
      <xdr:row>25</xdr:row>
      <xdr:rowOff>33480</xdr:rowOff>
    </xdr:to>
    <xdr:graphicFrame>
      <xdr:nvGraphicFramePr>
        <xdr:cNvPr id="5" name="Chart 2"/>
        <xdr:cNvGraphicFramePr/>
      </xdr:nvGraphicFramePr>
      <xdr:xfrm>
        <a:off x="5074920" y="20955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4"/>
    <col collapsed="false" customWidth="true" hidden="false" outlineLevel="0" max="7" min="7" style="0" width="3"/>
    <col collapsed="false" customWidth="true" hidden="false" outlineLevel="0" max="10" min="8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3" t="s">
        <v>2</v>
      </c>
      <c r="B5" s="3"/>
      <c r="C5" s="3"/>
      <c r="D5" s="3" t="s">
        <v>3</v>
      </c>
      <c r="E5" s="3"/>
      <c r="F5" s="3"/>
      <c r="G5" s="3" t="s">
        <v>4</v>
      </c>
      <c r="H5" s="3"/>
      <c r="I5" s="3"/>
    </row>
    <row r="6" customFormat="false" ht="22.05" hidden="false" customHeight="false" outlineLevel="0" collapsed="false">
      <c r="A6" s="4" t="n">
        <f aca="false">SUM(B21:B32)</f>
        <v>1220000</v>
      </c>
      <c r="B6" s="4"/>
      <c r="C6" s="4"/>
      <c r="D6" s="5" t="n">
        <f aca="false">SUM(C21:C32)</f>
        <v>6100</v>
      </c>
      <c r="E6" s="5"/>
      <c r="F6" s="5"/>
      <c r="G6" s="6" t="n">
        <f aca="false">SUM(B21:B32)/SUM(C21:C32)</f>
        <v>200</v>
      </c>
      <c r="H6" s="6"/>
      <c r="I6" s="6"/>
    </row>
    <row r="8" customFormat="false" ht="15" hidden="false" customHeight="false" outlineLevel="0" collapsed="false">
      <c r="A8" s="3" t="s">
        <v>5</v>
      </c>
      <c r="B8" s="3"/>
      <c r="C8" s="3"/>
      <c r="D8" s="3" t="s">
        <v>6</v>
      </c>
      <c r="E8" s="3"/>
      <c r="F8" s="3"/>
      <c r="G8" s="3" t="s">
        <v>7</v>
      </c>
      <c r="H8" s="3"/>
      <c r="I8" s="3"/>
    </row>
    <row r="9" customFormat="false" ht="22.05" hidden="false" customHeight="false" outlineLevel="0" collapsed="false">
      <c r="A9" s="7" t="n">
        <f aca="false">(B32-B21)/B21</f>
        <v>0.585365853658537</v>
      </c>
      <c r="B9" s="7"/>
      <c r="C9" s="7"/>
      <c r="D9" s="8" t="str">
        <f aca="false">INDEX(A21:A32,MATCH(MAX(B21:B32),B21:B32,0))</f>
        <v>Dec</v>
      </c>
      <c r="E9" s="8"/>
      <c r="F9" s="8"/>
      <c r="G9" s="9" t="n">
        <f aca="false">COUNTIFS(B21:B32,"&gt;"&amp;D21)/12</f>
        <v>0.916666666666667</v>
      </c>
      <c r="H9" s="9"/>
      <c r="I9" s="9"/>
    </row>
    <row r="20" customFormat="false" ht="15" hidden="false" customHeight="false" outlineLevel="0" collapsed="false">
      <c r="A20" s="10" t="s">
        <v>8</v>
      </c>
      <c r="B20" s="10" t="s">
        <v>9</v>
      </c>
      <c r="C20" s="10" t="s">
        <v>10</v>
      </c>
      <c r="D20" s="10" t="s">
        <v>11</v>
      </c>
    </row>
    <row r="21" customFormat="false" ht="15" hidden="false" customHeight="false" outlineLevel="0" collapsed="false">
      <c r="A21" s="11" t="s">
        <v>12</v>
      </c>
      <c r="B21" s="12" t="n">
        <v>82000</v>
      </c>
      <c r="C21" s="13" t="n">
        <v>410</v>
      </c>
      <c r="D21" s="12" t="n">
        <v>80000</v>
      </c>
    </row>
    <row r="22" customFormat="false" ht="15" hidden="false" customHeight="false" outlineLevel="0" collapsed="false">
      <c r="A22" s="11" t="s">
        <v>13</v>
      </c>
      <c r="B22" s="12" t="n">
        <v>79000</v>
      </c>
      <c r="C22" s="13" t="n">
        <v>395</v>
      </c>
      <c r="D22" s="12" t="n">
        <v>80000</v>
      </c>
    </row>
    <row r="23" customFormat="false" ht="15" hidden="false" customHeight="false" outlineLevel="0" collapsed="false">
      <c r="A23" s="11" t="s">
        <v>14</v>
      </c>
      <c r="B23" s="12" t="n">
        <v>91000</v>
      </c>
      <c r="C23" s="13" t="n">
        <v>455</v>
      </c>
      <c r="D23" s="12" t="n">
        <v>80000</v>
      </c>
    </row>
    <row r="24" customFormat="false" ht="15" hidden="false" customHeight="false" outlineLevel="0" collapsed="false">
      <c r="A24" s="11" t="s">
        <v>15</v>
      </c>
      <c r="B24" s="12" t="n">
        <v>88000</v>
      </c>
      <c r="C24" s="13" t="n">
        <v>440</v>
      </c>
      <c r="D24" s="12" t="n">
        <v>80000</v>
      </c>
    </row>
    <row r="25" customFormat="false" ht="15" hidden="false" customHeight="false" outlineLevel="0" collapsed="false">
      <c r="A25" s="11" t="s">
        <v>16</v>
      </c>
      <c r="B25" s="12" t="n">
        <v>95000</v>
      </c>
      <c r="C25" s="13" t="n">
        <v>475</v>
      </c>
      <c r="D25" s="12" t="n">
        <v>80000</v>
      </c>
    </row>
    <row r="26" customFormat="false" ht="15" hidden="false" customHeight="false" outlineLevel="0" collapsed="false">
      <c r="A26" s="11" t="s">
        <v>17</v>
      </c>
      <c r="B26" s="12" t="n">
        <v>102000</v>
      </c>
      <c r="C26" s="13" t="n">
        <v>510</v>
      </c>
      <c r="D26" s="12" t="n">
        <v>80000</v>
      </c>
    </row>
    <row r="27" customFormat="false" ht="15" hidden="false" customHeight="false" outlineLevel="0" collapsed="false">
      <c r="A27" s="11" t="s">
        <v>18</v>
      </c>
      <c r="B27" s="12" t="n">
        <v>99000</v>
      </c>
      <c r="C27" s="13" t="n">
        <v>495</v>
      </c>
      <c r="D27" s="12" t="n">
        <v>80000</v>
      </c>
    </row>
    <row r="28" customFormat="false" ht="15" hidden="false" customHeight="false" outlineLevel="0" collapsed="false">
      <c r="A28" s="11" t="s">
        <v>19</v>
      </c>
      <c r="B28" s="12" t="n">
        <v>108000</v>
      </c>
      <c r="C28" s="13" t="n">
        <v>540</v>
      </c>
      <c r="D28" s="12" t="n">
        <v>80000</v>
      </c>
    </row>
    <row r="29" customFormat="false" ht="15" hidden="false" customHeight="false" outlineLevel="0" collapsed="false">
      <c r="A29" s="11" t="s">
        <v>20</v>
      </c>
      <c r="B29" s="12" t="n">
        <v>115000</v>
      </c>
      <c r="C29" s="13" t="n">
        <v>575</v>
      </c>
      <c r="D29" s="12" t="n">
        <v>80000</v>
      </c>
    </row>
    <row r="30" customFormat="false" ht="15" hidden="false" customHeight="false" outlineLevel="0" collapsed="false">
      <c r="A30" s="11" t="s">
        <v>21</v>
      </c>
      <c r="B30" s="12" t="n">
        <v>110000</v>
      </c>
      <c r="C30" s="13" t="n">
        <v>550</v>
      </c>
      <c r="D30" s="12" t="n">
        <v>80000</v>
      </c>
    </row>
    <row r="31" customFormat="false" ht="15" hidden="false" customHeight="false" outlineLevel="0" collapsed="false">
      <c r="A31" s="11" t="s">
        <v>22</v>
      </c>
      <c r="B31" s="12" t="n">
        <v>121000</v>
      </c>
      <c r="C31" s="13" t="n">
        <v>605</v>
      </c>
      <c r="D31" s="12" t="n">
        <v>80000</v>
      </c>
    </row>
    <row r="32" customFormat="false" ht="15" hidden="false" customHeight="false" outlineLevel="0" collapsed="false">
      <c r="A32" s="11" t="s">
        <v>23</v>
      </c>
      <c r="B32" s="12" t="n">
        <v>130000</v>
      </c>
      <c r="C32" s="13" t="n">
        <v>650</v>
      </c>
      <c r="D32" s="12" t="n">
        <v>80000</v>
      </c>
    </row>
    <row r="34" customFormat="false" ht="15" hidden="false" customHeight="false" outlineLevel="0" collapsed="false">
      <c r="A34" s="14" t="s">
        <v>24</v>
      </c>
      <c r="B34" s="14"/>
      <c r="C34" s="14"/>
      <c r="D34" s="14"/>
    </row>
  </sheetData>
  <mergeCells count="15">
    <mergeCell ref="A1:J2"/>
    <mergeCell ref="A3:J3"/>
    <mergeCell ref="A5:C5"/>
    <mergeCell ref="D5:F5"/>
    <mergeCell ref="G5:I5"/>
    <mergeCell ref="A6:C6"/>
    <mergeCell ref="D6:F6"/>
    <mergeCell ref="G6:I6"/>
    <mergeCell ref="A8:C8"/>
    <mergeCell ref="D8:F8"/>
    <mergeCell ref="G8:I8"/>
    <mergeCell ref="A9:C9"/>
    <mergeCell ref="D9:F9"/>
    <mergeCell ref="G9:I9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4"/>
    <col collapsed="false" customWidth="true" hidden="false" outlineLevel="0" max="7" min="7" style="0" width="3"/>
    <col collapsed="false" customWidth="true" hidden="false" outlineLevel="0" max="10" min="8" style="0" width="16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</row>
    <row r="3" customFormat="false" ht="15" hidden="false" customHeight="false" outlineLevel="0" collapsed="false">
      <c r="A3" s="2" t="s">
        <v>26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3" t="s">
        <v>27</v>
      </c>
      <c r="B5" s="3"/>
      <c r="C5" s="3"/>
      <c r="D5" s="3" t="s">
        <v>28</v>
      </c>
      <c r="E5" s="3"/>
      <c r="F5" s="3"/>
      <c r="G5" s="3" t="s">
        <v>29</v>
      </c>
      <c r="H5" s="3"/>
      <c r="I5" s="3"/>
    </row>
    <row r="6" customFormat="false" ht="22.05" hidden="false" customHeight="false" outlineLevel="0" collapsed="false">
      <c r="A6" s="16" t="n">
        <f aca="false">SUM(B21:B26)</f>
        <v>51000</v>
      </c>
      <c r="B6" s="16"/>
      <c r="C6" s="16"/>
      <c r="D6" s="17" t="n">
        <f aca="false">SUM(C21:C26)</f>
        <v>1860</v>
      </c>
      <c r="E6" s="17"/>
      <c r="F6" s="17"/>
      <c r="G6" s="18" t="n">
        <f aca="false">SUM(D21:D26)</f>
        <v>247</v>
      </c>
      <c r="H6" s="18"/>
      <c r="I6" s="18"/>
    </row>
    <row r="8" customFormat="false" ht="15" hidden="false" customHeight="false" outlineLevel="0" collapsed="false">
      <c r="A8" s="3" t="s">
        <v>30</v>
      </c>
      <c r="B8" s="3"/>
      <c r="C8" s="3"/>
      <c r="D8" s="3" t="s">
        <v>31</v>
      </c>
      <c r="E8" s="3"/>
      <c r="F8" s="3"/>
      <c r="G8" s="3" t="s">
        <v>32</v>
      </c>
      <c r="H8" s="3"/>
      <c r="I8" s="3"/>
    </row>
    <row r="9" customFormat="false" ht="22.05" hidden="false" customHeight="false" outlineLevel="0" collapsed="false">
      <c r="A9" s="19" t="n">
        <f aca="false">SUM(B21:B26)/SUM(D21:D26)</f>
        <v>206.477732793522</v>
      </c>
      <c r="B9" s="19"/>
      <c r="C9" s="19"/>
      <c r="D9" s="7" t="n">
        <f aca="false">SUM(D21:D26)/SUM(C21:C26)</f>
        <v>0.132795698924731</v>
      </c>
      <c r="E9" s="7"/>
      <c r="F9" s="7"/>
      <c r="G9" s="8" t="str">
        <f aca="false">INDEX(A21:A26,MATCH(MAX(C21:C26),C21:C26,0))</f>
        <v>Paid Social</v>
      </c>
      <c r="H9" s="8"/>
      <c r="I9" s="8"/>
    </row>
    <row r="20" customFormat="false" ht="15" hidden="false" customHeight="false" outlineLevel="0" collapsed="false">
      <c r="A20" s="10" t="s">
        <v>33</v>
      </c>
      <c r="B20" s="10" t="s">
        <v>34</v>
      </c>
      <c r="C20" s="10" t="s">
        <v>35</v>
      </c>
      <c r="D20" s="10" t="s">
        <v>36</v>
      </c>
      <c r="E20" s="10" t="s">
        <v>37</v>
      </c>
      <c r="F20" s="10" t="s">
        <v>38</v>
      </c>
    </row>
    <row r="21" customFormat="false" ht="15" hidden="false" customHeight="false" outlineLevel="0" collapsed="false">
      <c r="A21" s="11" t="s">
        <v>39</v>
      </c>
      <c r="B21" s="12" t="n">
        <v>18000</v>
      </c>
      <c r="C21" s="13" t="n">
        <v>420</v>
      </c>
      <c r="D21" s="13" t="n">
        <v>42</v>
      </c>
      <c r="E21" s="20" t="n">
        <f aca="false">D21/C21</f>
        <v>0.1</v>
      </c>
      <c r="F21" s="12" t="n">
        <f aca="false">B21/D21</f>
        <v>428.571428571429</v>
      </c>
    </row>
    <row r="22" customFormat="false" ht="15" hidden="false" customHeight="false" outlineLevel="0" collapsed="false">
      <c r="A22" s="11" t="s">
        <v>40</v>
      </c>
      <c r="B22" s="12" t="n">
        <v>15000</v>
      </c>
      <c r="C22" s="13" t="n">
        <v>510</v>
      </c>
      <c r="D22" s="13" t="n">
        <v>55</v>
      </c>
      <c r="E22" s="20" t="n">
        <f aca="false">D22/C22</f>
        <v>0.107843137254902</v>
      </c>
      <c r="F22" s="12" t="n">
        <f aca="false">B22/D22</f>
        <v>272.727272727273</v>
      </c>
    </row>
    <row r="23" customFormat="false" ht="15" hidden="false" customHeight="false" outlineLevel="0" collapsed="false">
      <c r="A23" s="11" t="s">
        <v>41</v>
      </c>
      <c r="B23" s="12" t="n">
        <v>4000</v>
      </c>
      <c r="C23" s="13" t="n">
        <v>260</v>
      </c>
      <c r="D23" s="13" t="n">
        <v>39</v>
      </c>
      <c r="E23" s="20" t="n">
        <f aca="false">D23/C23</f>
        <v>0.15</v>
      </c>
      <c r="F23" s="12" t="n">
        <f aca="false">B23/D23</f>
        <v>102.564102564103</v>
      </c>
    </row>
    <row r="24" customFormat="false" ht="15" hidden="false" customHeight="false" outlineLevel="0" collapsed="false">
      <c r="A24" s="11" t="s">
        <v>42</v>
      </c>
      <c r="B24" s="12" t="n">
        <v>3000</v>
      </c>
      <c r="C24" s="13" t="n">
        <v>340</v>
      </c>
      <c r="D24" s="13" t="n">
        <v>61</v>
      </c>
      <c r="E24" s="20" t="n">
        <f aca="false">D24/C24</f>
        <v>0.179411764705882</v>
      </c>
      <c r="F24" s="12" t="n">
        <f aca="false">B24/D24</f>
        <v>49.1803278688525</v>
      </c>
    </row>
    <row r="25" customFormat="false" ht="15" hidden="false" customHeight="false" outlineLevel="0" collapsed="false">
      <c r="A25" s="11" t="s">
        <v>43</v>
      </c>
      <c r="B25" s="12" t="n">
        <v>2000</v>
      </c>
      <c r="C25" s="13" t="n">
        <v>150</v>
      </c>
      <c r="D25" s="13" t="n">
        <v>28</v>
      </c>
      <c r="E25" s="20" t="n">
        <f aca="false">D25/C25</f>
        <v>0.186666666666667</v>
      </c>
      <c r="F25" s="12" t="n">
        <f aca="false">B25/D25</f>
        <v>71.4285714285714</v>
      </c>
    </row>
    <row r="26" customFormat="false" ht="15" hidden="false" customHeight="false" outlineLevel="0" collapsed="false">
      <c r="A26" s="11" t="s">
        <v>44</v>
      </c>
      <c r="B26" s="12" t="n">
        <v>9000</v>
      </c>
      <c r="C26" s="13" t="n">
        <v>180</v>
      </c>
      <c r="D26" s="13" t="n">
        <v>22</v>
      </c>
      <c r="E26" s="20" t="n">
        <f aca="false">D26/C26</f>
        <v>0.122222222222222</v>
      </c>
      <c r="F26" s="12" t="n">
        <f aca="false">B26/D26</f>
        <v>409.090909090909</v>
      </c>
    </row>
    <row r="28" customFormat="false" ht="15" hidden="false" customHeight="false" outlineLevel="0" collapsed="false">
      <c r="A28" s="14" t="s">
        <v>45</v>
      </c>
      <c r="B28" s="14"/>
      <c r="C28" s="14"/>
      <c r="D28" s="14"/>
      <c r="E28" s="14"/>
      <c r="F28" s="14"/>
    </row>
  </sheetData>
  <mergeCells count="15">
    <mergeCell ref="A1:J2"/>
    <mergeCell ref="A3:J3"/>
    <mergeCell ref="A5:C5"/>
    <mergeCell ref="D5:F5"/>
    <mergeCell ref="G5:I5"/>
    <mergeCell ref="A6:C6"/>
    <mergeCell ref="D6:F6"/>
    <mergeCell ref="G6:I6"/>
    <mergeCell ref="A8:C8"/>
    <mergeCell ref="D8:F8"/>
    <mergeCell ref="G8:I8"/>
    <mergeCell ref="A9:C9"/>
    <mergeCell ref="D9:F9"/>
    <mergeCell ref="G9:I9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4"/>
    <col collapsed="false" customWidth="true" hidden="false" outlineLevel="0" max="7" min="7" style="0" width="3"/>
    <col collapsed="false" customWidth="true" hidden="false" outlineLevel="0" max="10" min="8" style="0" width="16"/>
  </cols>
  <sheetData>
    <row r="1" customFormat="false" ht="15" hidden="false" customHeight="false" outlineLevel="0" collapsed="false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15" hidden="false" customHeight="false" outlineLevel="0" collapsed="false">
      <c r="A2" s="21"/>
      <c r="B2" s="21"/>
      <c r="C2" s="21"/>
      <c r="D2" s="21"/>
      <c r="E2" s="21"/>
      <c r="F2" s="21"/>
      <c r="G2" s="21"/>
      <c r="H2" s="21"/>
      <c r="I2" s="21"/>
      <c r="J2" s="21"/>
    </row>
    <row r="3" customFormat="false" ht="15" hidden="false" customHeight="false" outlineLevel="0" collapsed="false">
      <c r="A3" s="2" t="s">
        <v>47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3" t="s">
        <v>48</v>
      </c>
      <c r="B5" s="3"/>
      <c r="C5" s="3"/>
      <c r="D5" s="3" t="s">
        <v>49</v>
      </c>
      <c r="E5" s="3"/>
      <c r="F5" s="3"/>
      <c r="G5" s="3" t="s">
        <v>50</v>
      </c>
      <c r="H5" s="3"/>
      <c r="I5" s="3"/>
    </row>
    <row r="6" customFormat="false" ht="22.05" hidden="false" customHeight="false" outlineLevel="0" collapsed="false">
      <c r="A6" s="22" t="n">
        <f aca="false">SUM(B21:B32)</f>
        <v>4575</v>
      </c>
      <c r="B6" s="22"/>
      <c r="C6" s="22"/>
      <c r="D6" s="7" t="n">
        <f aca="false">SUM(C21:C32)/SUM(B21:B32)</f>
        <v>0.892677595628415</v>
      </c>
      <c r="E6" s="7"/>
      <c r="F6" s="7"/>
      <c r="G6" s="23" t="n">
        <f aca="false">AVERAGE(D21:D32)</f>
        <v>6.04166666666667</v>
      </c>
      <c r="H6" s="23"/>
      <c r="I6" s="23"/>
    </row>
    <row r="8" customFormat="false" ht="15" hidden="false" customHeight="false" outlineLevel="0" collapsed="false">
      <c r="A8" s="3" t="s">
        <v>51</v>
      </c>
      <c r="B8" s="3"/>
      <c r="C8" s="3"/>
      <c r="D8" s="3" t="s">
        <v>52</v>
      </c>
      <c r="E8" s="3"/>
      <c r="F8" s="3"/>
      <c r="G8" s="3" t="s">
        <v>53</v>
      </c>
      <c r="H8" s="3"/>
      <c r="I8" s="3"/>
    </row>
    <row r="9" customFormat="false" ht="22.05" hidden="false" customHeight="false" outlineLevel="0" collapsed="false">
      <c r="A9" s="8" t="str">
        <f aca="false">INDEX(A21:A32,MATCH(MAX(B21:B32),B21:B32,0))</f>
        <v>Dec</v>
      </c>
      <c r="B9" s="8"/>
      <c r="C9" s="8"/>
      <c r="D9" s="24" t="str">
        <f aca="false">INDEX(A21:A32,MATCH(MAX(E21:E32),E21:E32,0))</f>
        <v>Apr</v>
      </c>
      <c r="E9" s="24"/>
      <c r="F9" s="24"/>
      <c r="G9" s="25" t="n">
        <f aca="false">SUM(C21:C32)/SUM(B21:B32)-0.95</f>
        <v>-0.0573224043715846</v>
      </c>
      <c r="H9" s="25"/>
      <c r="I9" s="25"/>
    </row>
    <row r="20" customFormat="false" ht="15" hidden="false" customHeight="false" outlineLevel="0" collapsed="false">
      <c r="A20" s="10" t="s">
        <v>8</v>
      </c>
      <c r="B20" s="10" t="s">
        <v>54</v>
      </c>
      <c r="C20" s="10" t="s">
        <v>55</v>
      </c>
      <c r="D20" s="10" t="s">
        <v>56</v>
      </c>
      <c r="E20" s="10" t="s">
        <v>57</v>
      </c>
    </row>
    <row r="21" customFormat="false" ht="15" hidden="false" customHeight="false" outlineLevel="0" collapsed="false">
      <c r="A21" s="11" t="s">
        <v>12</v>
      </c>
      <c r="B21" s="13" t="n">
        <v>320</v>
      </c>
      <c r="C21" s="13" t="n">
        <v>292</v>
      </c>
      <c r="D21" s="26" t="n">
        <v>6.2</v>
      </c>
      <c r="E21" s="20" t="n">
        <f aca="false">C21/B21</f>
        <v>0.9125</v>
      </c>
    </row>
    <row r="22" customFormat="false" ht="15" hidden="false" customHeight="false" outlineLevel="0" collapsed="false">
      <c r="A22" s="11" t="s">
        <v>13</v>
      </c>
      <c r="B22" s="13" t="n">
        <v>298</v>
      </c>
      <c r="C22" s="13" t="n">
        <v>270</v>
      </c>
      <c r="D22" s="26" t="n">
        <v>6.5</v>
      </c>
      <c r="E22" s="20" t="n">
        <f aca="false">C22/B22</f>
        <v>0.906040268456376</v>
      </c>
    </row>
    <row r="23" customFormat="false" ht="15" hidden="false" customHeight="false" outlineLevel="0" collapsed="false">
      <c r="A23" s="11" t="s">
        <v>14</v>
      </c>
      <c r="B23" s="13" t="n">
        <v>345</v>
      </c>
      <c r="C23" s="13" t="n">
        <v>315</v>
      </c>
      <c r="D23" s="26" t="n">
        <v>5.9</v>
      </c>
      <c r="E23" s="20" t="n">
        <f aca="false">C23/B23</f>
        <v>0.91304347826087</v>
      </c>
    </row>
    <row r="24" customFormat="false" ht="15" hidden="false" customHeight="false" outlineLevel="0" collapsed="false">
      <c r="A24" s="11" t="s">
        <v>15</v>
      </c>
      <c r="B24" s="13" t="n">
        <v>310</v>
      </c>
      <c r="C24" s="13" t="n">
        <v>286</v>
      </c>
      <c r="D24" s="26" t="n">
        <v>6.1</v>
      </c>
      <c r="E24" s="20" t="n">
        <f aca="false">C24/B24</f>
        <v>0.92258064516129</v>
      </c>
    </row>
    <row r="25" customFormat="false" ht="15" hidden="false" customHeight="false" outlineLevel="0" collapsed="false">
      <c r="A25" s="11" t="s">
        <v>16</v>
      </c>
      <c r="B25" s="13" t="n">
        <v>360</v>
      </c>
      <c r="C25" s="13" t="n">
        <v>326</v>
      </c>
      <c r="D25" s="26" t="n">
        <v>5.8</v>
      </c>
      <c r="E25" s="20" t="n">
        <f aca="false">C25/B25</f>
        <v>0.905555555555556</v>
      </c>
    </row>
    <row r="26" customFormat="false" ht="15" hidden="false" customHeight="false" outlineLevel="0" collapsed="false">
      <c r="A26" s="11" t="s">
        <v>17</v>
      </c>
      <c r="B26" s="13" t="n">
        <v>402</v>
      </c>
      <c r="C26" s="13" t="n">
        <v>360</v>
      </c>
      <c r="D26" s="26" t="n">
        <v>6.4</v>
      </c>
      <c r="E26" s="20" t="n">
        <f aca="false">C26/B26</f>
        <v>0.895522388059702</v>
      </c>
    </row>
    <row r="27" customFormat="false" ht="15" hidden="false" customHeight="false" outlineLevel="0" collapsed="false">
      <c r="A27" s="11" t="s">
        <v>18</v>
      </c>
      <c r="B27" s="13" t="n">
        <v>385</v>
      </c>
      <c r="C27" s="13" t="n">
        <v>340</v>
      </c>
      <c r="D27" s="26" t="n">
        <v>6</v>
      </c>
      <c r="E27" s="20" t="n">
        <f aca="false">C27/B27</f>
        <v>0.883116883116883</v>
      </c>
    </row>
    <row r="28" customFormat="false" ht="15" hidden="false" customHeight="false" outlineLevel="0" collapsed="false">
      <c r="A28" s="11" t="s">
        <v>19</v>
      </c>
      <c r="B28" s="13" t="n">
        <v>410</v>
      </c>
      <c r="C28" s="13" t="n">
        <v>362</v>
      </c>
      <c r="D28" s="26" t="n">
        <v>6.3</v>
      </c>
      <c r="E28" s="20" t="n">
        <f aca="false">C28/B28</f>
        <v>0.882926829268293</v>
      </c>
    </row>
    <row r="29" customFormat="false" ht="15" hidden="false" customHeight="false" outlineLevel="0" collapsed="false">
      <c r="A29" s="11" t="s">
        <v>20</v>
      </c>
      <c r="B29" s="13" t="n">
        <v>430</v>
      </c>
      <c r="C29" s="13" t="n">
        <v>378</v>
      </c>
      <c r="D29" s="26" t="n">
        <v>5.7</v>
      </c>
      <c r="E29" s="20" t="n">
        <f aca="false">C29/B29</f>
        <v>0.879069767441861</v>
      </c>
    </row>
    <row r="30" customFormat="false" ht="15" hidden="false" customHeight="false" outlineLevel="0" collapsed="false">
      <c r="A30" s="11" t="s">
        <v>21</v>
      </c>
      <c r="B30" s="13" t="n">
        <v>405</v>
      </c>
      <c r="C30" s="13" t="n">
        <v>357</v>
      </c>
      <c r="D30" s="26" t="n">
        <v>6.1</v>
      </c>
      <c r="E30" s="20" t="n">
        <f aca="false">C30/B30</f>
        <v>0.881481481481482</v>
      </c>
    </row>
    <row r="31" customFormat="false" ht="15" hidden="false" customHeight="false" outlineLevel="0" collapsed="false">
      <c r="A31" s="11" t="s">
        <v>22</v>
      </c>
      <c r="B31" s="13" t="n">
        <v>440</v>
      </c>
      <c r="C31" s="13" t="n">
        <v>388</v>
      </c>
      <c r="D31" s="26" t="n">
        <v>5.6</v>
      </c>
      <c r="E31" s="20" t="n">
        <f aca="false">C31/B31</f>
        <v>0.881818181818182</v>
      </c>
    </row>
    <row r="32" customFormat="false" ht="15" hidden="false" customHeight="false" outlineLevel="0" collapsed="false">
      <c r="A32" s="11" t="s">
        <v>23</v>
      </c>
      <c r="B32" s="13" t="n">
        <v>470</v>
      </c>
      <c r="C32" s="13" t="n">
        <v>410</v>
      </c>
      <c r="D32" s="26" t="n">
        <v>5.9</v>
      </c>
      <c r="E32" s="20" t="n">
        <f aca="false">C32/B32</f>
        <v>0.872340425531915</v>
      </c>
    </row>
    <row r="34" customFormat="false" ht="15" hidden="false" customHeight="false" outlineLevel="0" collapsed="false">
      <c r="A34" s="14" t="s">
        <v>24</v>
      </c>
      <c r="B34" s="14"/>
      <c r="C34" s="14"/>
      <c r="D34" s="14"/>
      <c r="E34" s="14"/>
    </row>
  </sheetData>
  <mergeCells count="15">
    <mergeCell ref="A1:J2"/>
    <mergeCell ref="A3:J3"/>
    <mergeCell ref="A5:C5"/>
    <mergeCell ref="D5:F5"/>
    <mergeCell ref="G5:I5"/>
    <mergeCell ref="A6:C6"/>
    <mergeCell ref="D6:F6"/>
    <mergeCell ref="G6:I6"/>
    <mergeCell ref="A8:C8"/>
    <mergeCell ref="D8:F8"/>
    <mergeCell ref="G8:I8"/>
    <mergeCell ref="A9:C9"/>
    <mergeCell ref="D9:F9"/>
    <mergeCell ref="G9:I9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2026-09-22T09:12:34Z</dcterms:created>
  <dc:creator>openpyxl</dc:creator>
  <dc:description/>
  <dc:language>en-US</dc:language>
  <cp:lastModifiedBy/>
  <dcterms:modified xsi:type="dcterms:W3CDTF">2026-09-22T09:12:37Z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